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200" windowHeight="10120" activeTab="1"/>
  </bookViews>
  <sheets>
    <sheet name="基本情况" sheetId="1" r:id="rId1"/>
    <sheet name="菜系分布" sheetId="3" r:id="rId2"/>
    <sheet name="场景分布" sheetId="9" r:id="rId3"/>
    <sheet name="菜品研发情况" sheetId="5" r:id="rId4"/>
    <sheet name="每日炒菜情况" sheetId="6" r:id="rId5"/>
    <sheet name="中餐智能菜品研发次数" sheetId="8" r:id="rId6"/>
    <sheet name="研发趋势" sheetId="10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<sst xmlns="http://schemas.openxmlformats.org/spreadsheetml/2006/main" count="70" uniqueCount="61">
  <si>
    <t>计划中菜品</t>
  </si>
  <si>
    <t>本周研发菜品</t>
  </si>
  <si>
    <t>已入库菜品</t>
  </si>
  <si>
    <t>计划研发专用酱料</t>
  </si>
  <si>
    <t>本周研发专用酱料</t>
  </si>
  <si>
    <t>已入库专用酱料</t>
  </si>
  <si>
    <t>配方总数</t>
  </si>
  <si>
    <t>菜系</t>
  </si>
  <si>
    <t>比重</t>
  </si>
  <si>
    <t>川菜</t>
  </si>
  <si>
    <t>湘菜</t>
  </si>
  <si>
    <t>粤菜</t>
  </si>
  <si>
    <t>江西小炒</t>
  </si>
  <si>
    <t>浙菜</t>
  </si>
  <si>
    <t>云南菜</t>
  </si>
  <si>
    <t>苏菜</t>
  </si>
  <si>
    <t>闽菜</t>
  </si>
  <si>
    <t>鲁菜</t>
  </si>
  <si>
    <t>徽菜</t>
  </si>
  <si>
    <t>场景</t>
  </si>
  <si>
    <t>人数</t>
  </si>
  <si>
    <t>团餐场景</t>
  </si>
  <si>
    <t>酒店场景</t>
  </si>
  <si>
    <t>正餐场景</t>
  </si>
  <si>
    <t>快餐场景</t>
  </si>
  <si>
    <t>小吃场景</t>
  </si>
  <si>
    <t>今日研发菜品</t>
  </si>
  <si>
    <t>昨日研发菜品</t>
  </si>
  <si>
    <t>今日上架菜品</t>
  </si>
  <si>
    <t>昨日上架菜品</t>
  </si>
  <si>
    <t>累积</t>
  </si>
  <si>
    <t>研发次数</t>
  </si>
  <si>
    <t>研发中心</t>
  </si>
  <si>
    <t>累计研发次数</t>
  </si>
  <si>
    <t>菜品名称</t>
  </si>
  <si>
    <t>中餐智能展厅</t>
  </si>
  <si>
    <t>辣椒炒肉</t>
  </si>
  <si>
    <t>油渣莲白</t>
  </si>
  <si>
    <t>麻婆豆腐</t>
  </si>
  <si>
    <t>鱼香肉丝</t>
  </si>
  <si>
    <t>小炒黄牛肉</t>
  </si>
  <si>
    <t>泡椒鸡杂</t>
  </si>
  <si>
    <t>宫保鸡丁</t>
  </si>
  <si>
    <t>酸辣土豆丝</t>
  </si>
  <si>
    <t>蒜苗回锅肉</t>
  </si>
  <si>
    <t>蒜苔肉丝</t>
  </si>
  <si>
    <t>月份</t>
  </si>
  <si>
    <t>月新增</t>
  </si>
  <si>
    <t>较往年趋势</t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</si>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</sst>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m/d;@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zoomScale="102" zoomScaleNormal="102" workbookViewId="0">
      <selection activeCell="E9" sqref="E9"/>
    </sheetView>
  </sheetViews>
  <sheetFormatPr defaultColWidth="9" defaultRowHeight="16.8" outlineLevelRow="1" outlineLevelCol="7"/>
  <cols>
    <col min="1" max="3" width="8.875" customWidth="1"/>
    <col min="4" max="4" width="12.875" customWidth="1"/>
    <col min="5" max="5" width="10.875" customWidth="1"/>
    <col min="6" max="6" width="16.6634615384615" customWidth="1"/>
    <col min="7" max="7" width="10.375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</row>
    <row r="2" spans="1:8">
      <c r="A2">
        <v>569</v>
      </c>
      <c r="B2">
        <v>289</v>
      </c>
      <c r="C2">
        <v>1842</v>
      </c>
      <c r="D2">
        <v>1765</v>
      </c>
      <c r="E2">
        <v>387</v>
      </c>
      <c r="F2">
        <v>3459</v>
      </c>
      <c r="H2">
        <v>73629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zoomScale="163" zoomScaleNormal="163" workbookViewId="0">
      <selection activeCell="B4" sqref="B4"/>
    </sheetView>
  </sheetViews>
  <sheetFormatPr defaultColWidth="9" defaultRowHeight="16.8" outlineLevelCol="1"/>
  <sheetData>
    <row r="1" spans="1:2">
      <c r="A1" t="s">
        <v>7</v>
      </c>
      <c r="B1" t="s">
        <v>8</v>
      </c>
    </row>
    <row r="2" spans="1:2">
      <c r="A2" t="s">
        <v>9</v>
      </c>
      <c r="B2" s="4">
        <v>30</v>
      </c>
    </row>
    <row r="3" spans="1:2">
      <c r="A3" t="s">
        <v>10</v>
      </c>
      <c r="B3" s="4">
        <v>17</v>
      </c>
    </row>
    <row r="4" spans="1:2">
      <c r="A4" t="s">
        <v>11</v>
      </c>
      <c r="B4" s="4">
        <v>16</v>
      </c>
    </row>
    <row r="5" spans="1:2">
      <c r="A5" t="s">
        <v>12</v>
      </c>
      <c r="B5" s="4">
        <v>18</v>
      </c>
    </row>
    <row r="6" spans="1:2">
      <c r="A6" t="s">
        <v>13</v>
      </c>
      <c r="B6" s="4">
        <v>8</v>
      </c>
    </row>
    <row r="7" spans="1:2">
      <c r="A7" t="s">
        <v>14</v>
      </c>
      <c r="B7">
        <v>7</v>
      </c>
    </row>
    <row r="8" spans="1:2">
      <c r="A8" t="s">
        <v>15</v>
      </c>
      <c r="B8" s="4">
        <v>15</v>
      </c>
    </row>
    <row r="9" spans="1:2">
      <c r="A9" t="s">
        <v>16</v>
      </c>
      <c r="B9">
        <v>10</v>
      </c>
    </row>
    <row r="10" spans="1:2">
      <c r="A10" t="s">
        <v>17</v>
      </c>
      <c r="B10">
        <v>4</v>
      </c>
    </row>
    <row r="11" spans="1:2">
      <c r="A11" t="s">
        <v>18</v>
      </c>
      <c r="B11">
        <v>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F14" sqref="F14"/>
    </sheetView>
  </sheetViews>
  <sheetFormatPr defaultColWidth="9" defaultRowHeight="16.8" outlineLevelRow="5" outlineLevelCol="1"/>
  <sheetData>
    <row r="1" spans="1:2">
      <c r="A1" t="s">
        <v>19</v>
      </c>
      <c r="B1" t="s">
        <v>20</v>
      </c>
    </row>
    <row r="2" spans="1:2">
      <c r="A2" t="s">
        <v>21</v>
      </c>
      <c r="B2" s="4">
        <v>5</v>
      </c>
    </row>
    <row r="3" spans="1:2">
      <c r="A3" t="s">
        <v>22</v>
      </c>
      <c r="B3" s="4">
        <v>4</v>
      </c>
    </row>
    <row r="4" spans="1:2">
      <c r="A4" t="s">
        <v>23</v>
      </c>
      <c r="B4" s="4">
        <v>3</v>
      </c>
    </row>
    <row r="5" spans="1:2">
      <c r="A5" t="s">
        <v>24</v>
      </c>
      <c r="B5" s="4">
        <v>2</v>
      </c>
    </row>
    <row r="6" spans="1:2">
      <c r="A6" t="s">
        <v>25</v>
      </c>
      <c r="B6" s="4">
        <v>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zoomScale="124" zoomScaleNormal="124" workbookViewId="0">
      <selection activeCell="D7" sqref="D7"/>
    </sheetView>
  </sheetViews>
  <sheetFormatPr defaultColWidth="9" defaultRowHeight="16.8" outlineLevelRow="6" outlineLevelCol="4"/>
  <cols>
    <col min="1" max="1" width="15" customWidth="1"/>
    <col min="2" max="2" width="17.125" customWidth="1"/>
    <col min="3" max="4" width="20.25" customWidth="1"/>
  </cols>
  <sheetData>
    <row r="1" spans="1:5">
      <c r="A1" t="s">
        <v>26</v>
      </c>
      <c r="B1" t="s">
        <v>27</v>
      </c>
      <c r="C1" t="s">
        <v>28</v>
      </c>
      <c r="D1" t="s">
        <v>29</v>
      </c>
    </row>
    <row r="2" spans="1:5">
      <c r="A2">
        <v>43</v>
      </c>
      <c r="B2" s="4">
        <v>32</v>
      </c>
      <c r="C2" s="4">
        <v>9</v>
      </c>
      <c r="D2" s="4">
        <v>11</v>
      </c>
      <c r="E2" s="4"/>
    </row>
    <row r="3" spans="1:5">
      <c r="B3" s="4"/>
      <c r="C3" s="4"/>
      <c r="D3" s="4"/>
      <c r="E3" s="4"/>
    </row>
    <row r="4" spans="1:5">
      <c r="B4" s="4"/>
      <c r="C4" s="4"/>
      <c r="D4" s="4"/>
      <c r="E4" s="4"/>
    </row>
    <row r="5" spans="1:5">
      <c r="B5" s="4"/>
      <c r="C5" s="4"/>
      <c r="D5" s="4"/>
      <c r="E5" s="4"/>
    </row>
    <row r="6" spans="1:5">
      <c r="B6" s="4"/>
      <c r="C6" s="4"/>
      <c r="D6" s="4"/>
      <c r="E6" s="4"/>
    </row>
    <row r="7" spans="1:5">
      <c r="B7" s="4"/>
      <c r="C7" s="4"/>
      <c r="D7" s="4"/>
      <c r="E7" s="4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zoomScale="206" zoomScaleNormal="206" workbookViewId="0">
      <selection activeCell="C9" sqref="B7 C9"/>
    </sheetView>
  </sheetViews>
  <sheetFormatPr defaultColWidth="9" defaultRowHeight="16.8" outlineLevelRow="5" outlineLevelCol="3"/>
  <cols>
    <col min="1" max="1" width="9.625" style="1" customWidth="1"/>
    <col min="2" max="2" width="15" customWidth="1"/>
    <col min="3" max="3" width="10.875" customWidth="1"/>
    <col min="4" max="4" width="12.875" style="2" customWidth="1"/>
  </cols>
  <sheetData>
    <row r="1" spans="1:4">
      <c r="A1" s="1" t="s">
        <v>30</v>
      </c>
      <c r="B1" t="s">
        <v>31</v>
      </c>
    </row>
    <row r="2" spans="1:4">
      <c r="A2" s="3" t="str">
        <f ca="1">TEXT(D2,"MM-DD")</f>
        <v>04-02</v>
      </c>
      <c r="B2">
        <v>78</v>
      </c>
      <c r="C2" s="3" t="str">
        <f ca="1">TEXT(D2,"MM-DD")</f>
        <v>04-02</v>
      </c>
      <c r="D2" s="2">
        <f ca="1">TODAY()-5</f>
        <v>46114</v>
      </c>
    </row>
    <row r="3" spans="1:4">
      <c r="A3" s="3" t="str">
        <f ca="1">TEXT(D3,"MM-DD")</f>
        <v>04-03</v>
      </c>
      <c r="B3">
        <v>64</v>
      </c>
      <c r="C3" s="3" t="str">
        <f ca="1">TEXT(D3,"MM-DD")</f>
        <v>04-03</v>
      </c>
      <c r="D3" s="2">
        <f ca="1">TODAY()-4</f>
        <v>46115</v>
      </c>
    </row>
    <row r="4" spans="1:4">
      <c r="A4" s="3" t="str">
        <f ca="1">TEXT(D4,"MM-DD")</f>
        <v>04-04</v>
      </c>
      <c r="B4">
        <v>96</v>
      </c>
      <c r="C4" s="3" t="str">
        <f ca="1">TEXT(D4,"MM-DD")</f>
        <v>04-04</v>
      </c>
      <c r="D4" s="2">
        <f ca="1">TODAY()-3</f>
        <v>46116</v>
      </c>
    </row>
    <row r="5" spans="1:4">
      <c r="A5" s="3" t="str">
        <f ca="1">TEXT(D5,"MM-DD")</f>
        <v>04-05</v>
      </c>
      <c r="B5">
        <v>82</v>
      </c>
      <c r="C5" s="3" t="str">
        <f ca="1">TEXT(D5,"MM-DD")</f>
        <v>04-05</v>
      </c>
      <c r="D5" s="2">
        <f ca="1">TODAY()-2</f>
        <v>46117</v>
      </c>
    </row>
    <row r="6" spans="1:4">
      <c r="A6" s="3" t="str">
        <f ca="1">TEXT(D6,"MM-DD")</f>
        <v>04-06</v>
      </c>
      <c r="B6">
        <v>72</v>
      </c>
      <c r="C6" s="3" t="str">
        <f ca="1">TEXT(D6,"MM-DD")</f>
        <v>04-06</v>
      </c>
      <c r="D6" s="2">
        <f ca="1">TODAY()-1</f>
        <v>46118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zoomScale="83" zoomScaleNormal="83" workbookViewId="0">
      <selection activeCell="F28" sqref="F28"/>
    </sheetView>
  </sheetViews>
  <sheetFormatPr defaultColWidth="9" defaultRowHeight="16.8" outlineLevelCol="2"/>
  <cols>
    <col min="1" max="1" width="20.1826923076923" customWidth="1"/>
    <col min="2" max="2" width="16.5096153846154" customWidth="1"/>
    <col min="3" max="3" width="24.5096153846154" customWidth="1"/>
    <col min="4" max="4" width="8.875" customWidth="1"/>
  </cols>
  <sheetData>
    <row r="1" spans="1:3">
      <c r="A1" t="s">
        <v>32</v>
      </c>
      <c r="B1" t="s">
        <v>33</v>
      </c>
      <c r="C1" t="s">
        <v>34</v>
      </c>
    </row>
    <row r="2" spans="1:3">
      <c r="A2" t="s">
        <v>35</v>
      </c>
      <c r="B2">
        <v>463</v>
      </c>
      <c r="C2" t="s">
        <v>36</v>
      </c>
    </row>
    <row r="3" spans="1:3">
      <c r="A3" t="s">
        <v>35</v>
      </c>
      <c r="B3">
        <v>782</v>
      </c>
      <c r="C3" t="s">
        <v>37</v>
      </c>
    </row>
    <row r="4" spans="1:3">
      <c r="A4" t="s">
        <v>35</v>
      </c>
      <c r="B4">
        <v>803</v>
      </c>
      <c r="C4" t="s">
        <v>38</v>
      </c>
    </row>
    <row r="5" spans="1:3">
      <c r="A5" t="s">
        <v>35</v>
      </c>
      <c r="B5">
        <v>591</v>
      </c>
      <c r="C5" t="s">
        <v>39</v>
      </c>
    </row>
    <row r="6" spans="1:3">
      <c r="A6" t="s">
        <v>35</v>
      </c>
      <c r="B6">
        <v>482</v>
      </c>
      <c r="C6" t="s">
        <v>40</v>
      </c>
    </row>
    <row r="7" spans="1:3">
      <c r="A7" t="s">
        <v>35</v>
      </c>
      <c r="B7">
        <v>593</v>
      </c>
      <c r="C7" t="s">
        <v>41</v>
      </c>
    </row>
    <row r="8" spans="1:3">
      <c r="A8" t="s">
        <v>35</v>
      </c>
      <c r="B8">
        <v>375</v>
      </c>
      <c r="C8" t="s">
        <v>42</v>
      </c>
    </row>
    <row r="9" spans="1:3">
      <c r="A9" t="s">
        <v>35</v>
      </c>
      <c r="B9">
        <v>478</v>
      </c>
      <c r="C9" t="s">
        <v>43</v>
      </c>
    </row>
    <row r="10" spans="1:3">
      <c r="A10" t="s">
        <v>35</v>
      </c>
      <c r="B10">
        <v>603</v>
      </c>
      <c r="C10" t="s">
        <v>44</v>
      </c>
    </row>
    <row r="11" spans="1:3">
      <c r="A11" t="s">
        <v>35</v>
      </c>
      <c r="B11">
        <v>508</v>
      </c>
      <c r="C11" t="s">
        <v>45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zoomScale="112" zoomScaleNormal="112" topLeftCell="A7" workbookViewId="0">
      <selection activeCell="C12" sqref="C12"/>
    </sheetView>
  </sheetViews>
  <sheetFormatPr defaultColWidth="9" defaultRowHeight="16.8" outlineLevelCol="2"/>
  <cols>
    <col min="1" max="1" width="20.1826923076923" customWidth="1"/>
    <col min="2" max="2" width="16.5096153846154" customWidth="1"/>
    <col min="3" max="3" width="24.5096153846154" customWidth="1"/>
    <col min="4" max="4" width="8.875" customWidth="1"/>
  </cols>
  <sheetData>
    <row r="1" spans="1:3">
      <c r="A1" t="s">
        <v>46</v>
      </c>
      <c r="B1" t="s">
        <v>47</v>
      </c>
      <c r="C1" t="s">
        <v>48</v>
      </c>
    </row>
    <row r="2" spans="1:3">
      <c r="A2" t="s">
        <v>49</v>
      </c>
      <c r="B2">
        <v>1359</v>
      </c>
      <c r="C2">
        <v>810</v>
      </c>
    </row>
    <row r="3" spans="1:3">
      <c r="A3" t="s">
        <v>50</v>
      </c>
      <c r="B3">
        <v>1522</v>
      </c>
      <c r="C3">
        <v>940</v>
      </c>
    </row>
    <row r="4" spans="1:3">
      <c r="A4" t="s">
        <v>51</v>
      </c>
      <c r="B4">
        <v>1007</v>
      </c>
      <c r="C4">
        <v>1249</v>
      </c>
    </row>
    <row r="5" spans="1:3">
      <c r="A5" t="s">
        <v>52</v>
      </c>
      <c r="B5">
        <v>788</v>
      </c>
      <c r="C5">
        <v>1102</v>
      </c>
    </row>
    <row r="6" spans="1:3">
      <c r="A6" t="s">
        <v>53</v>
      </c>
      <c r="B6">
        <v>910</v>
      </c>
      <c r="C6">
        <v>1369</v>
      </c>
    </row>
    <row r="7" spans="1:3">
      <c r="A7" t="s">
        <v>54</v>
      </c>
      <c r="B7">
        <v>1158</v>
      </c>
      <c r="C7">
        <v>1048</v>
      </c>
    </row>
    <row r="8" spans="1:3">
      <c r="A8" t="s">
        <v>55</v>
      </c>
      <c r="B8">
        <v>1433</v>
      </c>
      <c r="C8">
        <v>666</v>
      </c>
    </row>
    <row r="9" spans="1:3">
      <c r="A9" t="s">
        <v>56</v>
      </c>
      <c r="B9">
        <v>888</v>
      </c>
      <c r="C9">
        <v>708</v>
      </c>
    </row>
    <row r="10" spans="1:3">
      <c r="A10" t="s">
        <v>57</v>
      </c>
      <c r="B10">
        <v>725</v>
      </c>
      <c r="C10">
        <v>1600</v>
      </c>
    </row>
    <row r="11" spans="1:3">
      <c r="A11" t="s">
        <v>58</v>
      </c>
      <c r="B11">
        <v>963</v>
      </c>
      <c r="C11">
        <v>930</v>
      </c>
    </row>
    <row r="12" spans="1:3">
      <c r="A12" t="s">
        <v>59</v>
      </c>
      <c r="B12">
        <v>1600</v>
      </c>
      <c r="C12">
        <v>1052</v>
      </c>
    </row>
    <row r="13" spans="1:3">
      <c r="A13" t="s">
        <v>60</v>
      </c>
      <c r="B13">
        <v>1693</v>
      </c>
      <c r="C13">
        <v>983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基本情况</vt:lpstr>
      <vt:lpstr>菜系分布</vt:lpstr>
      <vt:lpstr>场景分布</vt:lpstr>
      <vt:lpstr>菜品研发情况</vt:lpstr>
      <vt:lpstr>每日炒菜情况</vt:lpstr>
      <vt:lpstr>中餐智能菜品研发次数</vt:lpstr>
      <vt:lpstr>研发趋势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幂法</cp:lastModifiedBy>
  <dcterms:created xsi:type="dcterms:W3CDTF">2020-06-10T16:17:00Z</dcterms:created>
  <dcterms:modified xsi:type="dcterms:W3CDTF">2026-04-07T13:51:47Z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2052-12.1.25201.25201</vt:lpwstr>
  </property>
  <property fmtid="{D5CDD505-2E9C-101B-9397-08002B2CF9AE}" pid="3" name="ICV">
    <vt:lpwstr>6EF441E6E684B0D6ECE92A677FF86654_42</vt:lpwstr>
  </property>
  <property fmtid="{D5CDD505-2E9C-101B-9397-08002B2CF9AE}" pid="4" name="CalculationRule">
    <vt:i4>0</vt:i4>
  </property>
</Properties>
</file>